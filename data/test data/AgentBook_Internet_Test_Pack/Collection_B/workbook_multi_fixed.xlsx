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_pham" sheetId="1" state="visible" r:id="rId1"/>
    <sheet xmlns:r="http://schemas.openxmlformats.org/officeDocument/2006/relationships" name="Doanh_so_thang" sheetId="2" state="visible" r:id="rId2"/>
    <sheet xmlns:r="http://schemas.openxmlformats.org/officeDocument/2006/relationships" name="Kiem_dinh_OCR" sheetId="3" state="visible" r:id="rId3"/>
    <sheet xmlns:r="http://schemas.openxmlformats.org/officeDocument/2006/relationships" name="Ghi_chu_tai_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Tong tai lieu theo thang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'Doanh_so_thang'!F1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'Doanh_so_thang'!$A$2:$A$7</f>
            </numRef>
          </cat>
          <val>
            <numRef>
              <f>'Doanh_so_thang'!$F$2:$F$7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Thang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 luong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29" customWidth="1" min="5" max="5"/>
    <col width="26" customWidth="1" min="6" max="6"/>
  </cols>
  <sheetData>
    <row r="1">
      <c r="A1" s="2" t="inlineStr">
        <is>
          <t>Ten san pham</t>
        </is>
      </c>
      <c r="B1" s="2" t="inlineStr">
        <is>
          <t>Danh muc</t>
        </is>
      </c>
      <c r="C1" s="2" t="inlineStr">
        <is>
          <t>Gia VND</t>
        </is>
      </c>
      <c r="D1" s="2" t="inlineStr">
        <is>
          <t>So luong</t>
        </is>
      </c>
      <c r="E1" s="2" t="inlineStr">
        <is>
          <t>Danh gia</t>
        </is>
      </c>
      <c r="F1" s="2" t="inlineStr">
        <is>
          <t>Gia tri ton kho</t>
        </is>
      </c>
    </row>
    <row r="2">
      <c r="A2" s="3" t="inlineStr">
        <is>
          <t>Laptop Dell XPS 13</t>
        </is>
      </c>
      <c r="B2" s="3" t="inlineStr">
        <is>
          <t>May tinh</t>
        </is>
      </c>
      <c r="C2" s="3" t="n">
        <v>28500000</v>
      </c>
      <c r="D2" s="3" t="n">
        <v>32</v>
      </c>
      <c r="E2" s="3" t="n">
        <v>4.7</v>
      </c>
      <c r="F2" s="3">
        <f>C2*D2</f>
        <v/>
      </c>
    </row>
    <row r="3">
      <c r="A3" s="3" t="inlineStr">
        <is>
          <t>MacBook Air M3</t>
        </is>
      </c>
      <c r="B3" s="3" t="inlineStr">
        <is>
          <t>May tinh</t>
        </is>
      </c>
      <c r="C3" s="3" t="n">
        <v>30900000</v>
      </c>
      <c r="D3" s="3" t="n">
        <v>24</v>
      </c>
      <c r="E3" s="3" t="n">
        <v>4.8</v>
      </c>
      <c r="F3" s="3">
        <f>C3*D3</f>
        <v/>
      </c>
    </row>
    <row r="4">
      <c r="A4" s="3" t="inlineStr">
        <is>
          <t>iPhone 15 Pro</t>
        </is>
      </c>
      <c r="B4" s="3" t="inlineStr">
        <is>
          <t>Dien thoai</t>
        </is>
      </c>
      <c r="C4" s="3" t="n">
        <v>28900000</v>
      </c>
      <c r="D4" s="3" t="n">
        <v>48</v>
      </c>
      <c r="E4" s="3" t="n">
        <v>4.8</v>
      </c>
      <c r="F4" s="3">
        <f>C4*D4</f>
        <v/>
      </c>
    </row>
    <row r="5">
      <c r="A5" s="3" t="inlineStr">
        <is>
          <t>Samsung Galaxy S24</t>
        </is>
      </c>
      <c r="B5" s="3" t="inlineStr">
        <is>
          <t>Dien thoai</t>
        </is>
      </c>
      <c r="C5" s="3" t="n">
        <v>22900000</v>
      </c>
      <c r="D5" s="3" t="n">
        <v>35</v>
      </c>
      <c r="E5" s="3" t="n">
        <v>4.6</v>
      </c>
      <c r="F5" s="3">
        <f>C5*D5</f>
        <v/>
      </c>
    </row>
    <row r="6">
      <c r="A6" s="3" t="inlineStr">
        <is>
          <t>iPad Air</t>
        </is>
      </c>
      <c r="B6" s="3" t="inlineStr">
        <is>
          <t>May tinh bang</t>
        </is>
      </c>
      <c r="C6" s="3" t="n">
        <v>16900000</v>
      </c>
      <c r="D6" s="3" t="n">
        <v>42</v>
      </c>
      <c r="E6" s="3" t="n">
        <v>4.5</v>
      </c>
      <c r="F6" s="3">
        <f>C6*D6</f>
        <v/>
      </c>
    </row>
    <row r="7">
      <c r="A7" s="3" t="inlineStr">
        <is>
          <t>Kindle Paperwhite</t>
        </is>
      </c>
      <c r="B7" s="3" t="inlineStr">
        <is>
          <t>Thiet bi doc</t>
        </is>
      </c>
      <c r="C7" s="3" t="n">
        <v>3890000</v>
      </c>
      <c r="D7" s="3" t="n">
        <v>55</v>
      </c>
      <c r="E7" s="3" t="n">
        <v>4.4</v>
      </c>
      <c r="F7" s="3">
        <f>C7*D7</f>
        <v/>
      </c>
    </row>
    <row r="8">
      <c r="A8" s="3" t="inlineStr">
        <is>
          <t>Sony WH-1000XM5</t>
        </is>
      </c>
      <c r="B8" s="3" t="inlineStr">
        <is>
          <t>Am thanh</t>
        </is>
      </c>
      <c r="C8" s="3" t="n">
        <v>7990000</v>
      </c>
      <c r="D8" s="3" t="n">
        <v>28</v>
      </c>
      <c r="E8" s="3" t="n">
        <v>4.7</v>
      </c>
      <c r="F8" s="3">
        <f>C8*D8</f>
        <v/>
      </c>
    </row>
    <row r="9">
      <c r="A9" s="3" t="inlineStr">
        <is>
          <t>AirPods Pro 2</t>
        </is>
      </c>
      <c r="B9" s="3" t="inlineStr">
        <is>
          <t>Am thanh</t>
        </is>
      </c>
      <c r="C9" s="3" t="n">
        <v>5790000</v>
      </c>
      <c r="D9" s="3" t="n">
        <v>64</v>
      </c>
      <c r="E9" s="3" t="n">
        <v>4.6</v>
      </c>
      <c r="F9" s="3">
        <f>C9*D9</f>
        <v/>
      </c>
    </row>
    <row r="10">
      <c r="A10" s="3" t="inlineStr">
        <is>
          <t>Logitech MX Master 3S</t>
        </is>
      </c>
      <c r="B10" s="3" t="inlineStr">
        <is>
          <t>Phu kien</t>
        </is>
      </c>
      <c r="C10" s="3" t="n">
        <v>2290000</v>
      </c>
      <c r="D10" s="3" t="n">
        <v>77</v>
      </c>
      <c r="E10" s="3" t="n">
        <v>4.8</v>
      </c>
      <c r="F10" s="3">
        <f>C10*D10</f>
        <v/>
      </c>
    </row>
    <row r="11">
      <c r="A11" s="3" t="inlineStr">
        <is>
          <t>Keychron K8 Pro</t>
        </is>
      </c>
      <c r="B11" s="3" t="inlineStr">
        <is>
          <t>Phu kien</t>
        </is>
      </c>
      <c r="C11" s="3" t="n">
        <v>2490000</v>
      </c>
      <c r="D11" s="3" t="n">
        <v>53</v>
      </c>
      <c r="E11" s="3" t="n">
        <v>4.5</v>
      </c>
      <c r="F11" s="3">
        <f>C11*D11</f>
        <v/>
      </c>
    </row>
    <row r="12">
      <c r="A12" s="3" t="inlineStr">
        <is>
          <t>Man hinh Dell U2723QE</t>
        </is>
      </c>
      <c r="B12" s="3" t="inlineStr">
        <is>
          <t>Man hinh</t>
        </is>
      </c>
      <c r="C12" s="3" t="n">
        <v>11900000</v>
      </c>
      <c r="D12" s="3" t="n">
        <v>20</v>
      </c>
      <c r="E12" s="3" t="n">
        <v>4.6</v>
      </c>
      <c r="F12" s="3">
        <f>C12*D12</f>
        <v/>
      </c>
    </row>
    <row r="13">
      <c r="A13" s="3" t="inlineStr">
        <is>
          <t>LG UltraFine 27</t>
        </is>
      </c>
      <c r="B13" s="3" t="inlineStr">
        <is>
          <t>Man hinh</t>
        </is>
      </c>
      <c r="C13" s="3" t="n">
        <v>13900000</v>
      </c>
      <c r="D13" s="3" t="n">
        <v>18</v>
      </c>
      <c r="E13" s="3" t="n">
        <v>4.4</v>
      </c>
      <c r="F13" s="3">
        <f>C13*D13</f>
        <v/>
      </c>
    </row>
    <row r="14">
      <c r="A14" s="3" t="inlineStr">
        <is>
          <t>Router WiFi 6 Asus</t>
        </is>
      </c>
      <c r="B14" s="3" t="inlineStr">
        <is>
          <t>Mang</t>
        </is>
      </c>
      <c r="C14" s="3" t="n">
        <v>3490000</v>
      </c>
      <c r="D14" s="3" t="n">
        <v>39</v>
      </c>
      <c r="E14" s="3" t="n">
        <v>4.3</v>
      </c>
      <c r="F14" s="3">
        <f>C14*D14</f>
        <v/>
      </c>
    </row>
    <row r="15">
      <c r="A15" s="3" t="inlineStr">
        <is>
          <t>NAS Synology DS224+</t>
        </is>
      </c>
      <c r="B15" s="3" t="inlineStr">
        <is>
          <t>Luu tru</t>
        </is>
      </c>
      <c r="C15" s="3" t="n">
        <v>8990000</v>
      </c>
      <c r="D15" s="3" t="n">
        <v>12</v>
      </c>
      <c r="E15" s="3" t="n">
        <v>4.5</v>
      </c>
      <c r="F15" s="3">
        <f>C15*D15</f>
        <v/>
      </c>
    </row>
    <row r="16">
      <c r="A16" s="3" t="inlineStr">
        <is>
          <t>SSD Samsung 990 Pro 2TB</t>
        </is>
      </c>
      <c r="B16" s="3" t="inlineStr">
        <is>
          <t>Luu tru</t>
        </is>
      </c>
      <c r="C16" s="3" t="n">
        <v>4290000</v>
      </c>
      <c r="D16" s="3" t="n">
        <v>61</v>
      </c>
      <c r="E16" s="3" t="n">
        <v>4.7</v>
      </c>
      <c r="F16" s="3">
        <f>C16*D16</f>
        <v/>
      </c>
    </row>
    <row r="17">
      <c r="A17" s="3" t="inlineStr">
        <is>
          <t>Webcam Logitech Brio</t>
        </is>
      </c>
      <c r="B17" s="3" t="inlineStr">
        <is>
          <t>Phu kien</t>
        </is>
      </c>
      <c r="C17" s="3" t="n">
        <v>3990000</v>
      </c>
      <c r="D17" s="3" t="n">
        <v>26</v>
      </c>
      <c r="E17" s="3" t="n">
        <v>4.2</v>
      </c>
      <c r="F17" s="3">
        <f>C17*D17</f>
        <v/>
      </c>
    </row>
    <row r="18">
      <c r="A18" s="3" t="inlineStr">
        <is>
          <t>May in Canon LBP</t>
        </is>
      </c>
      <c r="B18" s="3" t="inlineStr">
        <is>
          <t>Van phong</t>
        </is>
      </c>
      <c r="C18" s="3" t="n">
        <v>3290000</v>
      </c>
      <c r="D18" s="3" t="n">
        <v>22</v>
      </c>
      <c r="E18" s="3" t="n">
        <v>4.1</v>
      </c>
      <c r="F18" s="3">
        <f>C18*D18</f>
        <v/>
      </c>
    </row>
    <row r="19">
      <c r="A19" s="3" t="inlineStr">
        <is>
          <t>May scan Fujitsu</t>
        </is>
      </c>
      <c r="B19" s="3" t="inlineStr">
        <is>
          <t>Van phong</t>
        </is>
      </c>
      <c r="C19" s="3" t="n">
        <v>10900000</v>
      </c>
      <c r="D19" s="3" t="n">
        <v>9</v>
      </c>
      <c r="E19" s="3" t="n">
        <v>4.4</v>
      </c>
      <c r="F19" s="3">
        <f>C19*D19</f>
        <v/>
      </c>
    </row>
    <row r="20">
      <c r="A20" s="3" t="inlineStr">
        <is>
          <t>Bang ve Wacom One</t>
        </is>
      </c>
      <c r="B20" s="3" t="inlineStr">
        <is>
          <t>Do hoa</t>
        </is>
      </c>
      <c r="C20" s="3" t="n">
        <v>6990000</v>
      </c>
      <c r="D20" s="3" t="n">
        <v>15</v>
      </c>
      <c r="E20" s="3" t="n">
        <v>4.3</v>
      </c>
      <c r="F20" s="3">
        <f>C20*D20</f>
        <v/>
      </c>
    </row>
    <row r="21">
      <c r="A21" s="3" t="inlineStr">
        <is>
          <t>GPU RTX 4070 Super</t>
        </is>
      </c>
      <c r="B21" s="3" t="inlineStr">
        <is>
          <t>Linh kien</t>
        </is>
      </c>
      <c r="C21" s="3" t="n">
        <v>16900000</v>
      </c>
      <c r="D21" s="3" t="n">
        <v>11</v>
      </c>
      <c r="E21" s="3" t="n">
        <v>4.6</v>
      </c>
      <c r="F21" s="3">
        <f>C21*D21</f>
        <v/>
      </c>
    </row>
    <row r="22">
      <c r="A22" s="3" t="inlineStr">
        <is>
          <t>CPU Ryzen 7 7800X3D</t>
        </is>
      </c>
      <c r="B22" s="3" t="inlineStr">
        <is>
          <t>Linh kien</t>
        </is>
      </c>
      <c r="C22" s="3" t="n">
        <v>9990000</v>
      </c>
      <c r="D22" s="3" t="n">
        <v>17</v>
      </c>
      <c r="E22" s="3" t="n">
        <v>4.8</v>
      </c>
      <c r="F22" s="3">
        <f>C22*D22</f>
        <v/>
      </c>
    </row>
    <row r="23">
      <c r="A23" s="3" t="inlineStr">
        <is>
          <t>Bo nho RAM 32GB DDR5</t>
        </is>
      </c>
      <c r="B23" s="3" t="inlineStr">
        <is>
          <t>Linh kien</t>
        </is>
      </c>
      <c r="C23" s="3" t="n">
        <v>2790000</v>
      </c>
      <c r="D23" s="3" t="n">
        <v>45</v>
      </c>
      <c r="E23" s="3" t="n">
        <v>4.4</v>
      </c>
      <c r="F23" s="3">
        <f>C23*D23</f>
        <v/>
      </c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inlineStr">
        <is>
          <t>Tong gia tri ton kho</t>
        </is>
      </c>
      <c r="F25" s="3">
        <f>SUM(F2:F23)</f>
        <v/>
      </c>
    </row>
    <row r="26">
      <c r="A26" s="3" t="n"/>
      <c r="B26" s="3" t="n"/>
      <c r="C26" s="3" t="n"/>
      <c r="D26" s="3" t="n"/>
      <c r="E26" s="3" t="inlineStr">
        <is>
          <t>Gia trung binh</t>
        </is>
      </c>
      <c r="F26" s="3">
        <f>AVERAGE(C2:C23)</f>
        <v/>
      </c>
    </row>
    <row r="27">
      <c r="A27" s="3" t="n"/>
      <c r="B27" s="3" t="n"/>
      <c r="C27" s="3" t="n"/>
      <c r="D27" s="3" t="n"/>
      <c r="E27" s="3" t="inlineStr">
        <is>
          <t>So san pham danh gia &gt;= 4.6</t>
        </is>
      </c>
      <c r="F27" s="3">
        <f>COUNTIF(E2:E23,"&gt;=4.6")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23" customWidth="1" min="8" max="8"/>
    <col width="36" customWidth="1" min="9" max="9"/>
  </cols>
  <sheetData>
    <row r="1">
      <c r="A1" s="2" t="inlineStr">
        <is>
          <t>Thang</t>
        </is>
      </c>
      <c r="B1" s="2" t="inlineStr">
        <is>
          <t>Tai lieu PDF</t>
        </is>
      </c>
      <c r="C1" s="2" t="inlineStr">
        <is>
          <t>Bang tinh</t>
        </is>
      </c>
      <c r="D1" s="2" t="inlineStr">
        <is>
          <t>Anh OCR</t>
        </is>
      </c>
      <c r="E1" s="2" t="inlineStr">
        <is>
          <t>Audio</t>
        </is>
      </c>
      <c r="F1" s="2" t="inlineStr">
        <is>
          <t>Tong tai lieu</t>
        </is>
      </c>
      <c r="G1" s="2" t="n"/>
      <c r="H1" s="2" t="inlineStr">
        <is>
          <t>Chi so</t>
        </is>
      </c>
      <c r="I1" s="2" t="inlineStr">
        <is>
          <t>Gia tri</t>
        </is>
      </c>
    </row>
    <row r="2">
      <c r="A2" s="3" t="inlineStr">
        <is>
          <t>2026-01</t>
        </is>
      </c>
      <c r="B2" s="3" t="n">
        <v>18</v>
      </c>
      <c r="C2" s="3" t="n">
        <v>7</v>
      </c>
      <c r="D2" s="3" t="n">
        <v>11</v>
      </c>
      <c r="E2" s="3" t="n">
        <v>3</v>
      </c>
      <c r="F2" s="3">
        <f>SUM(B2:E2)</f>
        <v/>
      </c>
      <c r="G2" s="3" t="n"/>
      <c r="H2" s="3" t="inlineStr">
        <is>
          <t>Tong tai lieu 6 thang</t>
        </is>
      </c>
      <c r="I2" s="3">
        <f>SUM(F2:F7)</f>
        <v/>
      </c>
    </row>
    <row r="3">
      <c r="A3" s="3" t="inlineStr">
        <is>
          <t>2026-02</t>
        </is>
      </c>
      <c r="B3" s="3" t="n">
        <v>21</v>
      </c>
      <c r="C3" s="3" t="n">
        <v>8</v>
      </c>
      <c r="D3" s="3" t="n">
        <v>13</v>
      </c>
      <c r="E3" s="3" t="n">
        <v>4</v>
      </c>
      <c r="F3" s="3">
        <f>SUM(B3:E3)</f>
        <v/>
      </c>
      <c r="G3" s="3" t="n"/>
      <c r="H3" s="3" t="inlineStr">
        <is>
          <t>Thang nhieu nhat</t>
        </is>
      </c>
      <c r="I3" s="3">
        <f>INDEX(A2:A7,MATCH(MAX(F2:F7),F2:F7,0))</f>
        <v/>
      </c>
    </row>
    <row r="4">
      <c r="A4" s="3" t="inlineStr">
        <is>
          <t>2026-03</t>
        </is>
      </c>
      <c r="B4" s="3" t="n">
        <v>28</v>
      </c>
      <c r="C4" s="3" t="n">
        <v>10</v>
      </c>
      <c r="D4" s="3" t="n">
        <v>17</v>
      </c>
      <c r="E4" s="3" t="n">
        <v>5</v>
      </c>
      <c r="F4" s="3">
        <f>SUM(B4:E4)</f>
        <v/>
      </c>
      <c r="G4" s="3" t="n"/>
      <c r="H4" s="3" t="inlineStr">
        <is>
          <t>Trung binh/thang</t>
        </is>
      </c>
      <c r="I4" s="3">
        <f>AVERAGE(F2:F7)</f>
        <v/>
      </c>
    </row>
    <row r="5">
      <c r="A5" s="3" t="inlineStr">
        <is>
          <t>2026-04</t>
        </is>
      </c>
      <c r="B5" s="3" t="n">
        <v>31</v>
      </c>
      <c r="C5" s="3" t="n">
        <v>12</v>
      </c>
      <c r="D5" s="3" t="n">
        <v>19</v>
      </c>
      <c r="E5" s="3" t="n">
        <v>5</v>
      </c>
      <c r="F5" s="3">
        <f>SUM(B5:E5)</f>
        <v/>
      </c>
      <c r="G5" s="3" t="n"/>
      <c r="H5" s="3" t="n"/>
      <c r="I5" s="3" t="n"/>
    </row>
    <row r="6">
      <c r="A6" s="3" t="inlineStr">
        <is>
          <t>2026-05</t>
        </is>
      </c>
      <c r="B6" s="3" t="n">
        <v>35</v>
      </c>
      <c r="C6" s="3" t="n">
        <v>13</v>
      </c>
      <c r="D6" s="3" t="n">
        <v>22</v>
      </c>
      <c r="E6" s="3" t="n">
        <v>6</v>
      </c>
      <c r="F6" s="3">
        <f>SUM(B6:E6)</f>
        <v/>
      </c>
      <c r="G6" s="3" t="n"/>
      <c r="H6" s="3" t="n"/>
      <c r="I6" s="3" t="n"/>
    </row>
    <row r="7">
      <c r="A7" s="3" t="inlineStr">
        <is>
          <t>2026-06</t>
        </is>
      </c>
      <c r="B7" s="3" t="n">
        <v>41</v>
      </c>
      <c r="C7" s="3" t="n">
        <v>15</v>
      </c>
      <c r="D7" s="3" t="n">
        <v>24</v>
      </c>
      <c r="E7" s="3" t="n">
        <v>7</v>
      </c>
      <c r="F7" s="3">
        <f>SUM(B7:E7)</f>
        <v/>
      </c>
      <c r="G7" s="3" t="n"/>
      <c r="H7" s="3" t="n"/>
      <c r="I7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24" customWidth="1" min="4" max="4"/>
    <col width="29" customWidth="1" min="5" max="5"/>
    <col width="12" customWidth="1" min="6" max="6"/>
    <col width="18" customWidth="1" min="7" max="7"/>
    <col width="26" customWidth="1" min="8" max="8"/>
  </cols>
  <sheetData>
    <row r="1">
      <c r="A1" s="2" t="inlineStr">
        <is>
          <t>File</t>
        </is>
      </c>
      <c r="B1" s="2" t="inlineStr">
        <is>
          <t>Trang thai mong doi</t>
        </is>
      </c>
      <c r="C1" s="2" t="inlineStr">
        <is>
          <t>Ly do chat luong</t>
        </is>
      </c>
      <c r="D1" s="2" t="inlineStr">
        <is>
          <t>Truong debug can xem</t>
        </is>
      </c>
      <c r="E1" s="2" t="inlineStr">
        <is>
          <t>Can fail?</t>
        </is>
      </c>
      <c r="F1" s="2" t="n"/>
      <c r="G1" s="2" t="inlineStr">
        <is>
          <t>Tong file failed</t>
        </is>
      </c>
      <c r="H1" s="2">
        <f>COUNTIF(B2:B6,"failed")</f>
        <v/>
      </c>
    </row>
    <row r="2">
      <c r="A2" s="3" t="inlineStr">
        <is>
          <t>scan_clear.png</t>
        </is>
      </c>
      <c r="B2" s="3" t="inlineStr">
        <is>
          <t>indexed</t>
        </is>
      </c>
      <c r="C2" s="3" t="inlineStr">
        <is>
          <t>anh scan tieng Viet ro net</t>
        </is>
      </c>
      <c r="D2" s="3" t="inlineStr">
        <is>
          <t>ocr_confidence</t>
        </is>
      </c>
      <c r="E2" s="3">
        <f>IF(B2="failed","YES","NO")</f>
        <v/>
      </c>
      <c r="F2" s="3" t="n"/>
      <c r="G2" s="3" t="n"/>
      <c r="H2" s="3" t="n"/>
    </row>
    <row r="3">
      <c r="A3" s="3" t="inlineStr">
        <is>
          <t>report_vn.pdf</t>
        </is>
      </c>
      <c r="B3" s="3" t="inlineStr">
        <is>
          <t>indexed</t>
        </is>
      </c>
      <c r="C3" s="3" t="inlineStr">
        <is>
          <t>PDF chi gom anh scan tieng Viet</t>
        </is>
      </c>
      <c r="D3" s="3" t="inlineStr">
        <is>
          <t>ocr_confidence</t>
        </is>
      </c>
      <c r="E3" s="3">
        <f>IF(B3="failed","YES","NO")</f>
        <v/>
      </c>
      <c r="F3" s="3" t="n"/>
      <c r="G3" s="3" t="n"/>
      <c r="H3" s="3" t="n"/>
    </row>
    <row r="4">
      <c r="A4" s="3" t="inlineStr">
        <is>
          <t>scan_low_quality.png</t>
        </is>
      </c>
      <c r="B4" s="3" t="inlineStr">
        <is>
          <t>failed</t>
        </is>
      </c>
      <c r="C4" s="3" t="inlineStr">
        <is>
          <t>anh toi va bi lam mo</t>
        </is>
      </c>
      <c r="D4" s="3" t="inlineStr">
        <is>
          <t>error_message</t>
        </is>
      </c>
      <c r="E4" s="3">
        <f>IF(B4="failed","YES","NO")</f>
        <v/>
      </c>
      <c r="F4" s="3" t="n"/>
      <c r="G4" s="3" t="n"/>
      <c r="H4" s="3" t="n"/>
    </row>
    <row r="5">
      <c r="A5" s="3" t="inlineStr">
        <is>
          <t>handwriting_ok.png</t>
        </is>
      </c>
      <c r="B5" s="3" t="inlineStr">
        <is>
          <t>indexed</t>
        </is>
      </c>
      <c r="C5" s="3" t="inlineStr">
        <is>
          <t>chu viet tay doc duoc</t>
        </is>
      </c>
      <c r="D5" s="3" t="inlineStr">
        <is>
          <t>handwriting_confidence</t>
        </is>
      </c>
      <c r="E5" s="3">
        <f>IF(B5="failed","YES","NO")</f>
        <v/>
      </c>
      <c r="F5" s="3" t="n"/>
      <c r="G5" s="3" t="n"/>
      <c r="H5" s="3" t="n"/>
    </row>
    <row r="6">
      <c r="A6" s="3" t="inlineStr">
        <is>
          <t>handwriting_blur.png</t>
        </is>
      </c>
      <c r="B6" s="3" t="inlineStr">
        <is>
          <t>failed</t>
        </is>
      </c>
      <c r="C6" s="3" t="inlineStr">
        <is>
          <t>chu viet tay mo va tuong phan thap</t>
        </is>
      </c>
      <c r="D6" s="3" t="inlineStr">
        <is>
          <t>quality_score</t>
        </is>
      </c>
      <c r="E6" s="3">
        <f>IF(B6="failed","YES","NO")</f>
        <v/>
      </c>
      <c r="F6" s="3" t="n"/>
      <c r="G6" s="3" t="n"/>
      <c r="H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" t="inlineStr">
        <is>
          <t>Bo tai lieu nay uu tien tieng Viet de kiem thu AgentBook.</t>
        </is>
      </c>
    </row>
    <row r="2">
      <c r="A2" s="3" t="inlineStr">
        <is>
          <t>lecture_notes.pdf la tai lieu AI tieng Viet tai tu nguon cong khai.</t>
        </is>
      </c>
    </row>
    <row r="3">
      <c r="A3" s="3" t="inlineStr">
        <is>
          <t>lecture_notes_en.pdf chi dung rieng cho kich ban VN hoi tren tai lieu EN.</t>
        </is>
      </c>
    </row>
    <row r="4">
      <c r="A4" s="3" t="inlineStr">
        <is>
          <t>Collection_A dung cho RAG, compare, summarize, study-guide.</t>
        </is>
      </c>
    </row>
    <row r="5">
      <c r="A5" s="3" t="inlineStr">
        <is>
          <t>Collection_B dung cho bang du lieu, OCR, handwriting va audio.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2026-06-12T15:19:45Z</dcterms:created>
  <dcterms:modified xmlns:dcterms="http://purl.org/dc/terms/" xmlns:xsi="http://www.w3.org/2001/XMLSchema-instance" xsi:type="dcterms:W3CDTF">2026-06-12T15:28:29Z</dcterms:modified>
</cp:coreProperties>
</file>